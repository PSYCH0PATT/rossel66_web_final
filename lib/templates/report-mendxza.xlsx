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LIME\Downloads\"/>
    </mc:Choice>
  </mc:AlternateContent>
  <bookViews>
    <workbookView xWindow="0" yWindow="0" windowWidth="30720" windowHeight="13392"/>
  </bookViews>
  <sheets>
    <sheet name="Краткая сводка" sheetId="1" r:id="rId1"/>
  </sheets>
  <calcPr calcId="162913"/>
</workbook>
</file>

<file path=xl/calcChain.xml><?xml version="1.0" encoding="utf-8"?>
<calcChain xmlns="http://schemas.openxmlformats.org/spreadsheetml/2006/main">
  <c r="E15" i="1" l="1"/>
  <c r="E28" i="1" s="1"/>
  <c r="E26" i="1" l="1"/>
</calcChain>
</file>

<file path=xl/sharedStrings.xml><?xml version="1.0" encoding="utf-8"?>
<sst xmlns="http://schemas.openxmlformats.org/spreadsheetml/2006/main" count="51" uniqueCount="34">
  <si>
    <t>Сводный Отчёт об использовании Объектов</t>
  </si>
  <si>
    <t>Краткая сводка</t>
  </si>
  <si>
    <t>Договор:</t>
  </si>
  <si>
    <t>No ФЛ/ФЛ-30/12/2023-MENDXZA-ЛД</t>
  </si>
  <si>
    <t>Лицензиат:</t>
  </si>
  <si>
    <t>ИП Латынин Максим Русланович</t>
  </si>
  <si>
    <t>Лицензиар:</t>
  </si>
  <si>
    <t>Галец Артём Олегович</t>
  </si>
  <si>
    <t>Отчет за:</t>
  </si>
  <si>
    <t>4 квартал 2024 г.</t>
  </si>
  <si>
    <t>Период с 01.10.2024 по 31.12.2024</t>
  </si>
  <si>
    <t>Артист:</t>
  </si>
  <si>
    <t>MENDXZA</t>
  </si>
  <si>
    <t>Доход Лицензиата от использования Прав за отчетный период составил:</t>
  </si>
  <si>
    <t>Доход от использования объектов на механических носителях</t>
  </si>
  <si>
    <t>руб.</t>
  </si>
  <si>
    <t>Доход от использования объектов в форме контента:</t>
  </si>
  <si>
    <t>Итого доход Лицензиара в размере:</t>
  </si>
  <si>
    <t>Дополнительные расходы Лицензиата за отчетный период составили:</t>
  </si>
  <si>
    <t>Расходы на промо</t>
  </si>
  <si>
    <t>Другие расходы</t>
  </si>
  <si>
    <t>Итого расходов Лицензиата</t>
  </si>
  <si>
    <t>Остаток расходов Лицензиата на начало отчетного периода</t>
  </si>
  <si>
    <t>Списано расходов за отчетный период</t>
  </si>
  <si>
    <t>Остаток расходов Лицензиара на конец отчетного периода</t>
  </si>
  <si>
    <t>Начислено Вознаграждение Лицензиару:</t>
  </si>
  <si>
    <t>НДС не облагается</t>
  </si>
  <si>
    <t>К выплате Лицензиару за период:</t>
  </si>
  <si>
    <t>Дата, подписи:</t>
  </si>
  <si>
    <t>Дата утверждения отчета:</t>
  </si>
  <si>
    <t>Подписи сторон:</t>
  </si>
  <si>
    <t>______________/</t>
  </si>
  <si>
    <t>ИП Латынин М. Р.</t>
  </si>
  <si>
    <t>Галец А. 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</si>
</sst>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6" x14ac:knownFonts="1">
    <font>
      <sz val="8"/>
      <color rgb="FF000000"/>
      <name val="Calibri"/>
      <scheme val="minor"/>
    </font>
    <font>
      <b/>
      <sz val="10"/>
      <color rgb="FF000000"/>
      <name val="Times New Roman"/>
    </font>
    <font>
      <sz val="10"/>
      <color theme="1"/>
      <name val="Times New Roman"/>
    </font>
    <font>
      <sz val="10"/>
      <color rgb="FF000000"/>
      <name val="Times New Roman"/>
    </font>
    <font>
      <sz val="8"/>
      <name val="Calibri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2" fillId="0" borderId="0" xfId="0" applyFont="1"/>
    <xf numFmtId="0" fontId="3" fillId="0" borderId="0" xfId="0" applyFont="1" applyAlignment="1"/>
    <xf numFmtId="0" fontId="3" fillId="0" borderId="4" xfId="0" applyFont="1" applyBorder="1" applyAlignment="1"/>
    <xf numFmtId="0" fontId="3" fillId="0" borderId="6" xfId="0" applyFont="1" applyBorder="1" applyAlignment="1"/>
    <xf numFmtId="0" fontId="3" fillId="0" borderId="6" xfId="0" applyFont="1" applyBorder="1" applyAlignment="1">
      <alignment horizontal="right"/>
    </xf>
    <xf numFmtId="0" fontId="3" fillId="0" borderId="6" xfId="0" applyFont="1" applyBorder="1" applyAlignment="1"/>
    <xf numFmtId="4" fontId="3" fillId="0" borderId="6" xfId="0" applyNumberFormat="1" applyFont="1" applyBorder="1" applyAlignment="1">
      <alignment horizontal="right"/>
    </xf>
    <xf numFmtId="9" fontId="3" fillId="0" borderId="6" xfId="0" applyNumberFormat="1" applyFont="1" applyBorder="1" applyAlignment="1">
      <alignment horizontal="right"/>
    </xf>
    <xf numFmtId="1" fontId="3" fillId="0" borderId="6" xfId="0" applyNumberFormat="1" applyFont="1" applyBorder="1" applyAlignment="1">
      <alignment horizontal="right"/>
    </xf>
    <xf numFmtId="0" fontId="3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" fillId="0" borderId="2" xfId="0" applyFont="1" applyBorder="1" applyAlignment="1"/>
    <xf numFmtId="0" fontId="3" fillId="0" borderId="1" xfId="0" applyFont="1" applyBorder="1" applyAlignment="1"/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5" xfId="0" applyFont="1" applyBorder="1" applyAlignment="1"/>
    <xf numFmtId="0" fontId="4" fillId="0" borderId="5" xfId="0" applyFont="1" applyBorder="1"/>
    <xf numFmtId="0" fontId="4" fillId="0" borderId="6" xfId="0" applyFont="1" applyBorder="1"/>
    <xf numFmtId="0" fontId="3" fillId="0" borderId="7" xfId="0" applyFont="1" applyBorder="1" applyAlignment="1"/>
    <xf numFmtId="0" fontId="1" fillId="0" borderId="1" xfId="0" applyFont="1" applyBorder="1" applyAlignment="1"/>
    <xf numFmtId="0" fontId="3" fillId="0" borderId="2" xfId="0" applyFont="1" applyBorder="1" applyAlignme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164" fontId="2" fillId="0" borderId="2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1000"/>
  <sheetViews>
    <sheetView tabSelected="1" workbookViewId="0">
      <selection sqref="A1:F1"/>
    </sheetView>
  </sheetViews>
  <sheetFormatPr defaultColWidth="16.85546875" defaultRowHeight="15" customHeight="1" x14ac:dyDescent="0.2"/>
  <sheetData>
    <row r="1" spans="1:26" ht="15" customHeight="1" x14ac:dyDescent="0.25">
      <c r="A1" s="12" t="s">
        <v>0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2"/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4" t="s">
        <v>1</v>
      </c>
      <c r="B3" s="15"/>
      <c r="C3" s="15"/>
      <c r="D3" s="15"/>
      <c r="E3" s="15"/>
      <c r="F3" s="1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3" t="s">
        <v>2</v>
      </c>
      <c r="B4" s="21" t="s">
        <v>3</v>
      </c>
      <c r="C4" s="22"/>
      <c r="D4" s="22"/>
      <c r="E4" s="22"/>
      <c r="F4" s="2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5">
      <c r="A5" s="3" t="s">
        <v>4</v>
      </c>
      <c r="B5" s="17" t="s">
        <v>5</v>
      </c>
      <c r="C5" s="15"/>
      <c r="D5" s="15"/>
      <c r="E5" s="15"/>
      <c r="F5" s="1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5">
      <c r="A6" s="3" t="s">
        <v>6</v>
      </c>
      <c r="B6" s="17" t="s">
        <v>7</v>
      </c>
      <c r="C6" s="15"/>
      <c r="D6" s="15"/>
      <c r="E6" s="15"/>
      <c r="F6" s="1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5">
      <c r="A7" s="18"/>
      <c r="B7" s="15"/>
      <c r="C7" s="15"/>
      <c r="D7" s="15"/>
      <c r="E7" s="15"/>
      <c r="F7" s="1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5">
      <c r="A8" s="3" t="s">
        <v>8</v>
      </c>
      <c r="B8" s="19" t="s">
        <v>9</v>
      </c>
      <c r="C8" s="15"/>
      <c r="D8" s="20" t="s">
        <v>10</v>
      </c>
      <c r="E8" s="15"/>
      <c r="F8" s="1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18"/>
      <c r="B9" s="15"/>
      <c r="C9" s="15"/>
      <c r="D9" s="15"/>
      <c r="E9" s="15"/>
      <c r="F9" s="1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3" t="s">
        <v>11</v>
      </c>
      <c r="B10" s="17" t="s">
        <v>12</v>
      </c>
      <c r="C10" s="15"/>
      <c r="D10" s="15"/>
      <c r="E10" s="15"/>
      <c r="F10" s="1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18"/>
      <c r="B11" s="15"/>
      <c r="C11" s="15"/>
      <c r="D11" s="15"/>
      <c r="E11" s="15"/>
      <c r="F11" s="1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5">
      <c r="A12" s="14" t="s">
        <v>13</v>
      </c>
      <c r="B12" s="15"/>
      <c r="C12" s="15"/>
      <c r="D12" s="15"/>
      <c r="E12" s="15"/>
      <c r="F12" s="1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3" t="s">
        <v>14</v>
      </c>
      <c r="B13" s="4"/>
      <c r="C13" s="4"/>
      <c r="D13" s="4"/>
      <c r="E13" s="5">
        <v>0</v>
      </c>
      <c r="F13" s="6" t="s">
        <v>15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18" t="s">
        <v>16</v>
      </c>
      <c r="B14" s="15"/>
      <c r="C14" s="15"/>
      <c r="D14" s="16"/>
      <c r="E14" s="7">
        <v>22928.447250000016</v>
      </c>
      <c r="F14" s="6" t="s">
        <v>15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18" t="s">
        <v>17</v>
      </c>
      <c r="B15" s="15"/>
      <c r="C15" s="16"/>
      <c r="D15" s="8">
        <v>0.6</v>
      </c>
      <c r="E15" s="9">
        <f>E14*D15</f>
        <v>13757.068350000009</v>
      </c>
      <c r="F15" s="6" t="s">
        <v>15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5">
      <c r="A16" s="18"/>
      <c r="B16" s="15"/>
      <c r="C16" s="15"/>
      <c r="D16" s="15"/>
      <c r="E16" s="15"/>
      <c r="F16" s="1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5">
      <c r="A17" s="14" t="s">
        <v>18</v>
      </c>
      <c r="B17" s="15"/>
      <c r="C17" s="15"/>
      <c r="D17" s="15"/>
      <c r="E17" s="15"/>
      <c r="F17" s="1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24" t="s">
        <v>19</v>
      </c>
      <c r="B18" s="22"/>
      <c r="C18" s="22"/>
      <c r="D18" s="23"/>
      <c r="E18" s="4"/>
      <c r="F18" s="6" t="s">
        <v>15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5">
      <c r="A19" s="24" t="s">
        <v>20</v>
      </c>
      <c r="B19" s="22"/>
      <c r="C19" s="22"/>
      <c r="D19" s="23"/>
      <c r="E19" s="4"/>
      <c r="F19" s="6" t="s">
        <v>15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25">
      <c r="A20" s="24" t="s">
        <v>21</v>
      </c>
      <c r="B20" s="22"/>
      <c r="C20" s="22"/>
      <c r="D20" s="23"/>
      <c r="E20" s="5">
        <v>0</v>
      </c>
      <c r="F20" s="6" t="s">
        <v>15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5">
      <c r="A21" s="18"/>
      <c r="B21" s="15"/>
      <c r="C21" s="15"/>
      <c r="D21" s="15"/>
      <c r="E21" s="15"/>
      <c r="F21" s="1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5">
      <c r="A22" s="24" t="s">
        <v>22</v>
      </c>
      <c r="B22" s="22"/>
      <c r="C22" s="22"/>
      <c r="D22" s="23"/>
      <c r="E22" s="4"/>
      <c r="F22" s="6" t="s">
        <v>15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24" t="s">
        <v>23</v>
      </c>
      <c r="B23" s="22"/>
      <c r="C23" s="22"/>
      <c r="D23" s="23"/>
      <c r="E23" s="4"/>
      <c r="F23" s="6" t="s">
        <v>15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5">
      <c r="A24" s="24" t="s">
        <v>24</v>
      </c>
      <c r="B24" s="22"/>
      <c r="C24" s="22"/>
      <c r="D24" s="23"/>
      <c r="E24" s="5">
        <v>0</v>
      </c>
      <c r="F24" s="6" t="s">
        <v>15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25">
      <c r="A25" s="18"/>
      <c r="B25" s="15"/>
      <c r="C25" s="15"/>
      <c r="D25" s="15"/>
      <c r="E25" s="15"/>
      <c r="F25" s="1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25">
      <c r="A26" s="25" t="s">
        <v>25</v>
      </c>
      <c r="B26" s="15"/>
      <c r="C26" s="15"/>
      <c r="D26" s="16"/>
      <c r="E26" s="9">
        <f>E15</f>
        <v>13757.068350000009</v>
      </c>
      <c r="F26" s="6" t="s">
        <v>15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5">
      <c r="A27" s="18" t="s">
        <v>26</v>
      </c>
      <c r="B27" s="15"/>
      <c r="C27" s="15"/>
      <c r="D27" s="15"/>
      <c r="E27" s="15"/>
      <c r="F27" s="1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5">
      <c r="A28" s="25" t="s">
        <v>27</v>
      </c>
      <c r="B28" s="15"/>
      <c r="C28" s="15"/>
      <c r="D28" s="16"/>
      <c r="E28" s="9">
        <f>E15</f>
        <v>13757.068350000009</v>
      </c>
      <c r="F28" s="6" t="s">
        <v>15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25">
      <c r="A29" s="29" t="s">
        <v>28</v>
      </c>
      <c r="B29" s="15"/>
      <c r="C29" s="15"/>
      <c r="D29" s="15"/>
      <c r="E29" s="15"/>
      <c r="F29" s="1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25">
      <c r="A30" s="18" t="s">
        <v>29</v>
      </c>
      <c r="B30" s="16"/>
      <c r="C30" s="30">
        <v>45717</v>
      </c>
      <c r="D30" s="15"/>
      <c r="E30" s="15"/>
      <c r="F30" s="1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25">
      <c r="A31" s="18" t="s">
        <v>4</v>
      </c>
      <c r="B31" s="15"/>
      <c r="C31" s="16"/>
      <c r="D31" s="26" t="s">
        <v>6</v>
      </c>
      <c r="E31" s="15"/>
      <c r="F31" s="1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5">
      <c r="A32" s="25" t="s">
        <v>5</v>
      </c>
      <c r="B32" s="15"/>
      <c r="C32" s="16"/>
      <c r="D32" s="17" t="s">
        <v>7</v>
      </c>
      <c r="E32" s="15"/>
      <c r="F32" s="1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25">
      <c r="A33" s="27"/>
      <c r="B33" s="13"/>
      <c r="C33" s="13"/>
      <c r="D33" s="13"/>
      <c r="E33" s="13"/>
      <c r="F33" s="1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25">
      <c r="A34" s="12" t="s">
        <v>30</v>
      </c>
      <c r="B34" s="13"/>
      <c r="C34" s="13"/>
      <c r="D34" s="13"/>
      <c r="E34" s="13"/>
      <c r="F34" s="1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25">
      <c r="A35" s="28" t="s">
        <v>4</v>
      </c>
      <c r="B35" s="13"/>
      <c r="C35" s="13"/>
      <c r="D35" s="28" t="s">
        <v>6</v>
      </c>
      <c r="E35" s="13"/>
      <c r="F35" s="1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25">
      <c r="A36" s="2"/>
      <c r="B36" s="2"/>
      <c r="C36" s="2"/>
      <c r="D36" s="2"/>
      <c r="E36" s="2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25">
      <c r="A37" s="10" t="s">
        <v>31</v>
      </c>
      <c r="B37" s="11" t="s">
        <v>32</v>
      </c>
      <c r="C37" s="2"/>
      <c r="D37" s="10" t="s">
        <v>31</v>
      </c>
      <c r="E37" s="11" t="s">
        <v>33</v>
      </c>
      <c r="F37" s="1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A35:C35"/>
    <mergeCell ref="D35:F35"/>
    <mergeCell ref="D32:F32"/>
    <mergeCell ref="A24:D24"/>
    <mergeCell ref="A25:F25"/>
    <mergeCell ref="A26:D26"/>
    <mergeCell ref="A27:F27"/>
    <mergeCell ref="A28:D28"/>
    <mergeCell ref="A29:F29"/>
    <mergeCell ref="C30:F30"/>
    <mergeCell ref="A31:C31"/>
    <mergeCell ref="A32:C32"/>
    <mergeCell ref="D31:F31"/>
    <mergeCell ref="A33:F33"/>
    <mergeCell ref="A34:F34"/>
    <mergeCell ref="A20:D20"/>
    <mergeCell ref="A21:F21"/>
    <mergeCell ref="A22:D22"/>
    <mergeCell ref="A23:D23"/>
    <mergeCell ref="A30:B30"/>
    <mergeCell ref="A16:F16"/>
    <mergeCell ref="B10:F10"/>
    <mergeCell ref="A17:F17"/>
    <mergeCell ref="A18:D18"/>
    <mergeCell ref="A19:D19"/>
    <mergeCell ref="A9:F9"/>
    <mergeCell ref="A11:F11"/>
    <mergeCell ref="A12:F12"/>
    <mergeCell ref="A14:D14"/>
    <mergeCell ref="A15:C15"/>
    <mergeCell ref="A1:F1"/>
    <mergeCell ref="A3:F3"/>
    <mergeCell ref="B5:F5"/>
    <mergeCell ref="A7:F7"/>
    <mergeCell ref="B8:C8"/>
    <mergeCell ref="D8:F8"/>
    <mergeCell ref="B4:F4"/>
    <mergeCell ref="B6:F6"/>
  </mergeCells>
  <printOptions horizontalCentered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Краткая 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MLIME</cp:lastModifiedBy>
  <dcterms:modified xsi:type="dcterms:W3CDTF">2025-03-05T23:14:02Z</dcterms:modified>
</cp:coreProperties>
</file>